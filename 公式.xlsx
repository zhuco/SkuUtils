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<sst xmlns="http://schemas.openxmlformats.org/spreadsheetml/2006/main" count="24" uniqueCount="24">
  <si>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ROI（投入产出比）=成交金额/花费</t>
  </si>
  <si>
    <t>成交金额=客单价*成交笔数=客单价*点击量*点击转化率</t>
  </si>
  <si>
    <t>花费=点击量*ppc</t>
  </si>
  <si>
    <t>ROI=客单价*点击转化率/PPC</t>
  </si>
  <si>
    <t>保本ROI=1/毛利率</t>
  </si>
  <si>
    <t>保本ROI=客单价*点击转化率/PPC</t>
  </si>
  <si>
    <t>保本PPC=客单价*点击转化率/保本ROI</t>
  </si>
  <si>
    <t>成本核算</t>
  </si>
  <si>
    <t>核算保本ROI</t>
  </si>
  <si>
    <t>客单价</t>
  </si>
  <si>
    <t>保本ROI核算</t>
  </si>
  <si>
    <r>
      <rPr>
        <sz val="12"/>
        <color theme="1"/>
        <rFont val="宋体"/>
        <charset val="134"/>
        <scheme val="minor"/>
      </rPr>
      <t xml:space="preserve">公式算法
</t>
    </r>
    <r>
      <rPr>
        <b/>
        <sz val="12"/>
        <color rgb="FFC00000"/>
        <rFont val="等线"/>
        <charset val="134"/>
      </rPr>
      <t>保本ROI=1÷毛利率</t>
    </r>
  </si>
  <si>
    <t>产品成本</t>
  </si>
  <si>
    <t>第3步</t>
  </si>
  <si>
    <t>平台扣点</t>
  </si>
  <si>
    <t>核算保本PPC</t>
  </si>
  <si>
    <t>其他</t>
  </si>
  <si>
    <t>预计转化率</t>
  </si>
  <si>
    <t>保本PPC</t>
  </si>
  <si>
    <t>公式算法</t>
  </si>
  <si>
    <t>运费</t>
  </si>
  <si>
    <r>
      <rPr>
        <b/>
        <sz val="12"/>
        <color rgb="FFC00000"/>
        <rFont val="等线"/>
        <charset val="134"/>
      </rPr>
      <t>保本</t>
    </r>
    <r>
      <rPr>
        <b/>
        <sz val="12"/>
        <color rgb="FFC00000"/>
        <rFont val="等线"/>
        <charset val="134"/>
      </rPr>
      <t>PPC=</t>
    </r>
    <r>
      <rPr>
        <b/>
        <sz val="12"/>
        <color rgb="FFC00000"/>
        <rFont val="等线"/>
        <charset val="134"/>
      </rPr>
      <t>客单价</t>
    </r>
    <r>
      <rPr>
        <b/>
        <sz val="12"/>
        <color rgb="FFC00000"/>
        <rFont val="等线"/>
        <charset val="134"/>
      </rPr>
      <t>*</t>
    </r>
    <r>
      <rPr>
        <b/>
        <sz val="12"/>
        <color rgb="FFC00000"/>
        <rFont val="等线"/>
        <charset val="134"/>
      </rPr>
      <t>点击率转化率</t>
    </r>
    <r>
      <rPr>
        <b/>
        <sz val="12"/>
        <color rgb="FFC00000"/>
        <rFont val="等线"/>
        <charset val="134"/>
      </rPr>
      <t>/</t>
    </r>
    <r>
      <rPr>
        <b/>
        <sz val="12"/>
        <color rgb="FFC00000"/>
        <rFont val="等线"/>
        <charset val="134"/>
      </rPr>
      <t>保本</t>
    </r>
    <r>
      <rPr>
        <b/>
        <sz val="12"/>
        <color rgb="FFC00000"/>
        <rFont val="等线"/>
        <charset val="134"/>
      </rPr>
      <t xml:space="preserve">ROI
</t>
    </r>
    <r>
      <rPr>
        <sz val="12"/>
        <color theme="1"/>
        <rFont val="宋体"/>
        <charset val="134"/>
        <scheme val="minor"/>
      </rPr>
      <t xml:space="preserve">保本PPC为该转化率下，出价最高上限
高于这个价格，就会出现亏钱
降低PPC，可以提升ROI
提升转化率，可以出高价拿到更多的流量
</t>
    </r>
  </si>
  <si>
    <t>利润</t>
  </si>
  <si>
    <t>毛利率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</si>
</sst>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b/>
      <sz val="20"/>
      <color rgb="FFC00000"/>
      <name val="宋体"/>
      <charset val="134"/>
      <scheme val="minor"/>
    </font>
    <font>
      <sz val="16"/>
      <color rgb="FF191919"/>
      <name val="微软雅黑"/>
      <charset val="134"/>
    </font>
    <font>
      <sz val="12"/>
      <color theme="1"/>
      <name val="宋体"/>
      <charset val="134"/>
      <scheme val="minor"/>
    </font>
    <font>
      <b/>
      <sz val="16"/>
      <color rgb="FFC00000"/>
      <name val="微软雅黑"/>
      <charset val="134"/>
    </font>
    <font>
      <sz val="16"/>
      <color rgb="FFC00000"/>
      <name val="微软雅黑"/>
      <charset val="134"/>
    </font>
    <font>
      <sz val="2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2"/>
      <color rgb="FFC0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7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21" fillId="13" borderId="18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176" fontId="3" fillId="2" borderId="3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9" fontId="3" fillId="0" borderId="0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9" fontId="3" fillId="0" borderId="5" xfId="0" applyNumberFormat="1" applyFont="1" applyFill="1" applyBorder="1" applyAlignment="1">
      <alignment horizontal="center" vertical="center"/>
    </xf>
    <xf numFmtId="176" fontId="3" fillId="0" borderId="8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10" fontId="6" fillId="0" borderId="10" xfId="0" applyNumberFormat="1" applyFont="1" applyFill="1" applyBorder="1" applyAlignment="1">
      <alignment vertical="center"/>
    </xf>
    <xf numFmtId="9" fontId="3" fillId="0" borderId="9" xfId="0" applyNumberFormat="1" applyFont="1" applyFill="1" applyBorder="1" applyAlignment="1">
      <alignment horizontal="center" vertical="center"/>
    </xf>
    <xf numFmtId="176" fontId="3" fillId="0" borderId="11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I29"/>
  <sheetViews>
    <sheetView tabSelected="1" topLeftCell="A10" workbookViewId="0">
      <selection activeCell="F24" sqref="F24"/>
    </sheetView>
  </sheetViews>
  <sheetFormatPr defaultColWidth="8.88888888888889" defaultRowHeight="14.4"/>
  <cols>
    <col min="4" max="4" width="27" customWidth="1"/>
    <col min="5" max="5" width="19" customWidth="1"/>
    <col min="7" max="7" width="24.3333333333333" customWidth="1"/>
    <col min="8" max="8" width="20.5555555555556" customWidth="1"/>
    <col min="9" max="9" width="39.5555555555556" customWidth="1"/>
  </cols>
  <sheetData>
    <row r="1" ht="25.8" spans="4:9">
      <c r="D1" s="1"/>
      <c r="E1" s="1"/>
      <c r="F1" s="1"/>
      <c r="G1" s="1"/>
      <c r="H1" s="1"/>
      <c r="I1" s="1"/>
    </row>
    <row r="2" ht="25.8" spans="4:9">
      <c r="D2" s="2" t="s">
        <v>0</v>
      </c>
      <c r="E2" s="3"/>
      <c r="F2" s="3"/>
      <c r="G2" s="3"/>
      <c r="H2" s="1"/>
      <c r="I2" s="1"/>
    </row>
    <row r="3" ht="25.8" spans="4:9">
      <c r="D3" s="2" t="s">
        <v>1</v>
      </c>
      <c r="E3" s="3"/>
      <c r="F3" s="3"/>
      <c r="G3" s="3"/>
      <c r="H3" s="1"/>
      <c r="I3" s="1"/>
    </row>
    <row r="4" ht="25.8" spans="4:9">
      <c r="D4" s="2" t="s">
        <v>2</v>
      </c>
      <c r="E4" s="3"/>
      <c r="F4" s="3"/>
      <c r="G4" s="3"/>
      <c r="H4" s="1"/>
      <c r="I4" s="1"/>
    </row>
    <row r="5" ht="25.8" spans="4:9">
      <c r="D5" s="2"/>
      <c r="E5" s="3"/>
      <c r="F5" s="3"/>
      <c r="G5" s="3"/>
      <c r="H5" s="1"/>
      <c r="I5" s="1"/>
    </row>
    <row r="6" ht="25.8" spans="4:9">
      <c r="D6" s="4" t="s">
        <v>3</v>
      </c>
      <c r="E6" s="3"/>
      <c r="F6" s="3"/>
      <c r="G6" s="3"/>
      <c r="H6" s="1"/>
      <c r="I6" s="1"/>
    </row>
    <row r="7" ht="25.8" spans="4:9">
      <c r="D7" s="2" t="s">
        <v>4</v>
      </c>
      <c r="E7" s="3"/>
      <c r="F7" s="3"/>
      <c r="G7" s="3"/>
      <c r="H7" s="1"/>
      <c r="I7" s="1"/>
    </row>
    <row r="8" ht="25.8" spans="4:9">
      <c r="D8" s="5" t="s">
        <v>5</v>
      </c>
      <c r="E8" s="3"/>
      <c r="F8" s="3"/>
      <c r="G8" s="3"/>
      <c r="H8" s="1"/>
      <c r="I8" s="1"/>
    </row>
    <row r="9" ht="25.8" spans="4:9">
      <c r="D9" s="5" t="s">
        <v>6</v>
      </c>
      <c r="E9" s="3"/>
      <c r="F9" s="3"/>
      <c r="G9" s="3"/>
      <c r="H9" s="1"/>
      <c r="I9" s="1"/>
    </row>
    <row r="10" ht="25.8" spans="4:9">
      <c r="D10" s="1"/>
      <c r="E10" s="1"/>
      <c r="F10" s="1"/>
      <c r="G10" s="1"/>
      <c r="H10" s="1"/>
      <c r="I10" s="1"/>
    </row>
    <row r="11" ht="26.55" spans="4:9">
      <c r="D11" s="1" t="s">
        <v>7</v>
      </c>
      <c r="E11" s="3"/>
      <c r="F11" s="3"/>
      <c r="G11" s="1" t="s">
        <v>8</v>
      </c>
      <c r="H11" s="3"/>
      <c r="I11" s="3"/>
    </row>
    <row r="12" ht="31.95" spans="4:9">
      <c r="D12" s="6" t="s">
        <v>9</v>
      </c>
      <c r="E12" s="7">
        <v>15</v>
      </c>
      <c r="F12" s="3"/>
      <c r="G12" s="8" t="s">
        <v>10</v>
      </c>
      <c r="H12" s="9">
        <f>1/E18</f>
        <v>4.41176470588235</v>
      </c>
      <c r="I12" s="21" t="s">
        <v>11</v>
      </c>
    </row>
    <row r="13" ht="25.8" spans="4:9">
      <c r="D13" s="10" t="s">
        <v>12</v>
      </c>
      <c r="E13" s="11">
        <f>2.9*3</f>
        <v>8.7</v>
      </c>
      <c r="F13" s="3"/>
      <c r="G13" s="1" t="s">
        <v>13</v>
      </c>
      <c r="H13" s="12"/>
      <c r="I13" s="22"/>
    </row>
    <row r="14" ht="26.55" spans="4:9">
      <c r="D14" s="10" t="s">
        <v>14</v>
      </c>
      <c r="E14" s="11">
        <f>E12*0.08</f>
        <v>1.2</v>
      </c>
      <c r="F14" s="3"/>
      <c r="G14" s="1" t="s">
        <v>15</v>
      </c>
      <c r="H14" s="12"/>
      <c r="I14" s="22"/>
    </row>
    <row r="15" ht="25.8" spans="4:9">
      <c r="D15" s="10" t="s">
        <v>16</v>
      </c>
      <c r="E15" s="11">
        <v>0</v>
      </c>
      <c r="F15" s="3"/>
      <c r="G15" s="13" t="s">
        <v>17</v>
      </c>
      <c r="H15" s="14" t="s">
        <v>18</v>
      </c>
      <c r="I15" s="23" t="s">
        <v>19</v>
      </c>
    </row>
    <row r="16" ht="25.8" spans="4:9">
      <c r="D16" s="10" t="s">
        <v>20</v>
      </c>
      <c r="E16" s="11">
        <v>1.7</v>
      </c>
      <c r="F16" s="3"/>
      <c r="G16" s="15">
        <v>0.01</v>
      </c>
      <c r="H16" s="16"/>
      <c r="I16" s="24" t="s">
        <v>21</v>
      </c>
    </row>
    <row r="17" ht="25.8" spans="4:9">
      <c r="D17" s="10" t="s">
        <v>22</v>
      </c>
      <c r="E17" s="11">
        <f>E12-E13-E14-E15-E16</f>
        <v>3.4</v>
      </c>
      <c r="F17" s="3"/>
      <c r="G17" s="15">
        <v>0.02</v>
      </c>
      <c r="H17" s="16"/>
      <c r="I17" s="24"/>
    </row>
    <row r="18" ht="26.55" spans="4:9">
      <c r="D18" s="17" t="s">
        <v>23</v>
      </c>
      <c r="E18" s="18">
        <f>E17/E12</f>
        <v>0.226666666666667</v>
      </c>
      <c r="F18" s="3"/>
      <c r="G18" s="19">
        <v>0.03</v>
      </c>
      <c r="H18" s="20"/>
      <c r="I18" s="25"/>
    </row>
    <row r="22" ht="22.2" spans="4:7">
      <c r="D22" s="2"/>
      <c r="E22" s="3"/>
      <c r="F22" s="3"/>
      <c r="G22" s="3"/>
    </row>
    <row r="23" ht="22.2" spans="4:7">
      <c r="D23" s="2"/>
      <c r="E23" s="3"/>
      <c r="F23" s="3"/>
      <c r="G23" s="3"/>
    </row>
    <row r="24" ht="22.2" spans="4:7">
      <c r="D24" s="2"/>
      <c r="E24" s="3"/>
      <c r="F24" s="3"/>
      <c r="G24" s="3"/>
    </row>
    <row r="25" ht="22.2" spans="4:7">
      <c r="D25" s="2"/>
      <c r="E25" s="3"/>
      <c r="F25" s="3"/>
      <c r="G25" s="3"/>
    </row>
    <row r="26" ht="23.4" spans="4:7">
      <c r="D26" s="4"/>
      <c r="E26" s="3"/>
      <c r="F26" s="3"/>
      <c r="G26" s="3"/>
    </row>
    <row r="27" ht="22.2" spans="4:7">
      <c r="D27" s="2"/>
      <c r="E27" s="3"/>
      <c r="F27" s="3"/>
      <c r="G27" s="3"/>
    </row>
    <row r="28" ht="22.2" spans="4:7">
      <c r="D28" s="5"/>
      <c r="E28" s="3"/>
      <c r="F28" s="3"/>
      <c r="G28" s="3"/>
    </row>
    <row r="29" ht="22.2" spans="4:7">
      <c r="D29" s="5"/>
      <c r="E29" s="3"/>
      <c r="F29" s="3"/>
      <c r="G29" s="3"/>
    </row>
  </sheetData>
  <mergeCells count="1">
    <mergeCell ref="I16:I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小诺</cp:lastModifiedBy>
  <dcterms:created xsi:type="dcterms:W3CDTF">2026-03-17T04:14:00Z</dcterms:created>
  <dcterms:modified xsi:type="dcterms:W3CDTF">2026-03-18T11:15:40Z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DA7845988F0440A192A9E0838CC9B349_11</vt:lpwstr>
  </property>
  <property fmtid="{D5CDD505-2E9C-101B-9397-08002B2CF9AE}" pid="3" name="KSOProductBuildVer">
    <vt:lpwstr>2052-11.1.0.14309</vt:lpwstr>
  </property>
</Properties>
</file>